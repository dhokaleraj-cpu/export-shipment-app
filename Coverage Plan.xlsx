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okaleraj/export_shipment_app/"/>
    </mc:Choice>
  </mc:AlternateContent>
  <xr:revisionPtr revIDLastSave="0" documentId="13_ncr:1_{B6D40000-FE2A-C54F-B06D-EE582C2805F4}" xr6:coauthVersionLast="47" xr6:coauthVersionMax="47" xr10:uidLastSave="{00000000-0000-0000-0000-000000000000}"/>
  <bookViews>
    <workbookView xWindow="4420" yWindow="780" windowWidth="28800" windowHeight="17220" activeTab="1" xr2:uid="{AC933B03-C8D2-F441-AEF9-24A7F2F32C66}"/>
  </bookViews>
  <sheets>
    <sheet name="Coverage plan 7237" sheetId="6" r:id="rId1"/>
    <sheet name="Product master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3" i="6" l="1"/>
  <c r="AC14" i="6"/>
  <c r="AD14" i="6"/>
  <c r="AE14" i="6"/>
  <c r="AF14" i="6"/>
  <c r="AG14" i="6"/>
  <c r="AH14" i="6"/>
  <c r="AI14" i="6"/>
  <c r="AJ14" i="6"/>
  <c r="AK14" i="6"/>
  <c r="AC15" i="6"/>
  <c r="AD15" i="6"/>
  <c r="AE15" i="6"/>
  <c r="AF15" i="6"/>
  <c r="AG15" i="6"/>
  <c r="AH15" i="6"/>
  <c r="AI15" i="6"/>
  <c r="AJ15" i="6"/>
  <c r="AK15" i="6"/>
  <c r="AD13" i="6"/>
  <c r="AC13" i="6"/>
  <c r="AB13" i="6"/>
  <c r="E14" i="6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D13" i="6"/>
  <c r="E8" i="6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AJ8" i="6" s="1"/>
  <c r="AK8" i="6" s="1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L14" i="6" l="1"/>
  <c r="D15" i="6"/>
  <c r="E10" i="6"/>
  <c r="E13" i="6" s="1"/>
  <c r="F10" i="6" s="1"/>
  <c r="F13" i="6" s="1"/>
  <c r="AL15" i="6" l="1"/>
  <c r="AM14" i="6"/>
  <c r="E15" i="6"/>
  <c r="F15" i="6"/>
  <c r="G10" i="6"/>
  <c r="G13" i="6" s="1"/>
  <c r="AM15" i="6" l="1"/>
  <c r="AN14" i="6"/>
  <c r="G15" i="6"/>
  <c r="H10" i="6"/>
  <c r="H13" i="6" s="1"/>
  <c r="AN15" i="6" l="1"/>
  <c r="AO14" i="6"/>
  <c r="H15" i="6"/>
  <c r="I10" i="6"/>
  <c r="I13" i="6" s="1"/>
  <c r="AO15" i="6" l="1"/>
  <c r="AP14" i="6"/>
  <c r="AQ14" i="6" s="1"/>
  <c r="AR14" i="6" s="1"/>
  <c r="AS14" i="6" s="1"/>
  <c r="AT14" i="6" s="1"/>
  <c r="AU14" i="6" s="1"/>
  <c r="AV14" i="6" s="1"/>
  <c r="AW14" i="6" s="1"/>
  <c r="AX14" i="6" s="1"/>
  <c r="I15" i="6"/>
  <c r="J10" i="6"/>
  <c r="J13" i="6" s="1"/>
  <c r="K10" i="6" l="1"/>
  <c r="K13" i="6" s="1"/>
  <c r="J15" i="6"/>
  <c r="L10" i="6" l="1"/>
  <c r="L13" i="6" s="1"/>
  <c r="K15" i="6"/>
  <c r="M10" i="6" l="1"/>
  <c r="M13" i="6" s="1"/>
  <c r="L15" i="6"/>
  <c r="M15" i="6" l="1"/>
  <c r="N10" i="6"/>
  <c r="N13" i="6" s="1"/>
  <c r="N15" i="6" l="1"/>
  <c r="O10" i="6"/>
  <c r="O13" i="6" s="1"/>
  <c r="O15" i="6" l="1"/>
  <c r="P10" i="6"/>
  <c r="P13" i="6" s="1"/>
  <c r="Q10" i="6" l="1"/>
  <c r="Q13" i="6" s="1"/>
  <c r="P15" i="6"/>
  <c r="Q15" i="6" l="1"/>
  <c r="R10" i="6"/>
  <c r="R13" i="6" s="1"/>
  <c r="R15" i="6" l="1"/>
  <c r="S10" i="6"/>
  <c r="S13" i="6" s="1"/>
  <c r="S15" i="6" l="1"/>
  <c r="T10" i="6"/>
  <c r="T13" i="6" s="1"/>
  <c r="U10" i="6" l="1"/>
  <c r="U13" i="6" s="1"/>
  <c r="T15" i="6"/>
  <c r="U15" i="6" l="1"/>
  <c r="V10" i="6"/>
  <c r="V13" i="6" s="1"/>
  <c r="V15" i="6" l="1"/>
  <c r="W10" i="6"/>
  <c r="W13" i="6" s="1"/>
  <c r="X10" i="6" l="1"/>
  <c r="X13" i="6" s="1"/>
  <c r="W15" i="6"/>
  <c r="Y10" i="6" l="1"/>
  <c r="Y13" i="6" s="1"/>
  <c r="X15" i="6"/>
  <c r="Y15" i="6" l="1"/>
  <c r="Z10" i="6"/>
  <c r="Z13" i="6" s="1"/>
  <c r="AA10" i="6" l="1"/>
  <c r="AA13" i="6" s="1"/>
  <c r="Z15" i="6"/>
  <c r="AB10" i="6" l="1"/>
  <c r="AA15" i="6"/>
  <c r="AC10" i="6" l="1"/>
  <c r="AB15" i="6"/>
  <c r="AD10" i="6" l="1"/>
  <c r="AE10" i="6" l="1"/>
  <c r="AE13" i="6" s="1"/>
  <c r="AF10" i="6" l="1"/>
  <c r="AF13" i="6" s="1"/>
  <c r="AG10" i="6" l="1"/>
  <c r="AG13" i="6" s="1"/>
  <c r="AH10" i="6" l="1"/>
  <c r="AH13" i="6" s="1"/>
  <c r="AI10" i="6" l="1"/>
  <c r="AI13" i="6" s="1"/>
  <c r="AJ10" i="6" l="1"/>
  <c r="AJ13" i="6" s="1"/>
  <c r="AK10" i="6" l="1"/>
  <c r="AK13" i="6" s="1"/>
  <c r="AL10" i="6" l="1"/>
  <c r="AL13" i="6" s="1"/>
  <c r="AM10" i="6" l="1"/>
  <c r="AM13" i="6" s="1"/>
  <c r="AN10" i="6" l="1"/>
  <c r="AN13" i="6" s="1"/>
  <c r="AO10" i="6" l="1"/>
  <c r="AO13" i="6" s="1"/>
  <c r="AP10" i="6" l="1"/>
  <c r="AP15" i="6" l="1"/>
  <c r="AQ10" i="6"/>
  <c r="AQ13" i="6" s="1"/>
  <c r="AR10" i="6" l="1"/>
  <c r="AR13" i="6" s="1"/>
  <c r="AQ15" i="6"/>
  <c r="AR15" i="6" l="1"/>
  <c r="AS10" i="6"/>
  <c r="AS13" i="6" s="1"/>
  <c r="AT10" i="6" l="1"/>
  <c r="AT13" i="6" s="1"/>
  <c r="AS15" i="6"/>
  <c r="AT15" i="6" l="1"/>
  <c r="AU10" i="6"/>
  <c r="AU13" i="6" s="1"/>
  <c r="AV10" i="6" l="1"/>
  <c r="AV13" i="6" s="1"/>
  <c r="AU15" i="6"/>
  <c r="AV15" i="6" l="1"/>
  <c r="AW10" i="6"/>
  <c r="AW13" i="6" s="1"/>
  <c r="AX10" i="6" l="1"/>
  <c r="AX13" i="6" s="1"/>
  <c r="AX15" i="6" s="1"/>
  <c r="AW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Amruta Dhokale</author>
    <author>Rajesh Dhokale</author>
  </authors>
  <commentList>
    <comment ref="M8" authorId="0" shapeId="0" xr:uid="{5B527B2B-ACEA-094A-91C6-0808D8C9CC3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303000001_7237_16K
</t>
        </r>
      </text>
    </comment>
    <comment ref="E9" authorId="1" shapeId="0" xr:uid="{D1B6E97F-2542-B649-B0EF-C80208C7880D}">
      <text>
        <r>
          <rPr>
            <b/>
            <sz val="10"/>
            <color rgb="FF000000"/>
            <rFont val="Tahoma"/>
            <family val="2"/>
          </rPr>
          <t>Amruta Dhokale: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INV - 0009</t>
        </r>
      </text>
    </comment>
    <comment ref="J9" authorId="1" shapeId="0" xr:uid="{D30A612E-15E7-B043-916F-38482BB148EE}">
      <text>
        <r>
          <rPr>
            <b/>
            <sz val="10"/>
            <color rgb="FF000000"/>
            <rFont val="Tahoma"/>
            <family val="2"/>
          </rPr>
          <t>Amruta Dhokale: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INV - 00012
</t>
        </r>
      </text>
    </comment>
    <comment ref="Q9" authorId="1" shapeId="0" xr:uid="{97D7F899-888D-7140-944E-19E7C565C714}">
      <text>
        <r>
          <rPr>
            <b/>
            <sz val="10"/>
            <color rgb="FF000000"/>
            <rFont val="Tahoma"/>
            <family val="2"/>
          </rPr>
          <t>Amruta Dhokale: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INV - ED900013</t>
        </r>
      </text>
    </comment>
    <comment ref="R9" authorId="2" shapeId="0" xr:uid="{B8056DC1-FE7F-0648-B357-7209C1F5F93F}">
      <text>
        <r>
          <rPr>
            <b/>
            <sz val="10"/>
            <color rgb="FF000000"/>
            <rFont val="Tahoma"/>
            <family val="2"/>
          </rPr>
          <t>Rajesh Dhokale: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inv ED900014 - 14000</t>
        </r>
      </text>
    </comment>
    <comment ref="U9" authorId="1" shapeId="0" xr:uid="{4916ED99-C457-BF4E-8245-61A923C1D76B}">
      <text>
        <r>
          <rPr>
            <b/>
            <sz val="10"/>
            <color rgb="FF000000"/>
            <rFont val="Tahoma"/>
            <family val="2"/>
          </rPr>
          <t>Amruta Dhokale: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"/>
            <family val="34"/>
          </rPr>
          <t xml:space="preserve">Inv 15 - 16000
</t>
        </r>
        <r>
          <rPr>
            <sz val="10"/>
            <color rgb="FF000000"/>
            <rFont val="Aptos"/>
            <family val="34"/>
          </rPr>
          <t xml:space="preserve">shipped 9 Mar
</t>
        </r>
      </text>
    </comment>
    <comment ref="V9" authorId="1" shapeId="0" xr:uid="{122D86E6-A590-CB45-A0AA-B1A2832400FF}">
      <text>
        <r>
          <rPr>
            <b/>
            <sz val="10"/>
            <color rgb="FF000000"/>
            <rFont val="Tahoma"/>
            <family val="2"/>
          </rPr>
          <t>Amruta Dhokale: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 xml:space="preserve">Inv No - ED900017 - 16000
</t>
        </r>
        <r>
          <rPr>
            <sz val="10"/>
            <color rgb="FF000000"/>
            <rFont val="Aptos Narrow"/>
          </rPr>
          <t xml:space="preserve">
</t>
        </r>
      </text>
    </comment>
    <comment ref="X9" authorId="1" shapeId="0" xr:uid="{7CDBC54F-4DB4-5444-AA93-A7B87DF94796}">
      <text>
        <r>
          <rPr>
            <b/>
            <sz val="10"/>
            <color rgb="FF000000"/>
            <rFont val="Tahoma"/>
            <family val="2"/>
          </rPr>
          <t>Amruta Dhokale: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INV - </t>
        </r>
        <r>
          <rPr>
            <sz val="10"/>
            <color rgb="FF000000"/>
            <rFont val="Aptos Narrow"/>
          </rPr>
          <t xml:space="preserve">303000001
</t>
        </r>
        <r>
          <rPr>
            <sz val="10"/>
            <color rgb="FF000000"/>
            <rFont val="Tahoma"/>
            <family val="2"/>
          </rPr>
          <t xml:space="preserve">16000 Pcs
</t>
        </r>
      </text>
    </comment>
    <comment ref="AC9" authorId="1" shapeId="0" xr:uid="{7C22726B-B793-254D-8894-E8330216D2D6}">
      <text>
        <r>
          <rPr>
            <b/>
            <sz val="10"/>
            <color rgb="FF000000"/>
            <rFont val="Tahoma"/>
            <family val="2"/>
          </rPr>
          <t>Amruta Dhokale: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Inv - 100300004</t>
        </r>
      </text>
    </comment>
    <comment ref="AH9" authorId="1" shapeId="0" xr:uid="{AE568B69-932C-D041-A884-024691792F7C}">
      <text>
        <r>
          <rPr>
            <b/>
            <sz val="10"/>
            <color rgb="FF000000"/>
            <rFont val="Tahoma"/>
            <family val="2"/>
          </rPr>
          <t>Amruta Dhokale: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INV - 303000006</t>
        </r>
      </text>
    </comment>
  </commentList>
</comments>
</file>

<file path=xl/sharedStrings.xml><?xml version="1.0" encoding="utf-8"?>
<sst xmlns="http://schemas.openxmlformats.org/spreadsheetml/2006/main" count="40" uniqueCount="39">
  <si>
    <t xml:space="preserve">Next Shipment Plan </t>
  </si>
  <si>
    <t>Last Shipment #</t>
  </si>
  <si>
    <t>Last Shipment Qty</t>
  </si>
  <si>
    <t>Coverage</t>
  </si>
  <si>
    <t>0 weeks</t>
  </si>
  <si>
    <t>2-4 weeks</t>
  </si>
  <si>
    <t>Stock at WH</t>
  </si>
  <si>
    <t>4-6 weeks</t>
  </si>
  <si>
    <t>8+ weeks</t>
  </si>
  <si>
    <t>WH Bank</t>
  </si>
  <si>
    <t>Two Months Inventory</t>
  </si>
  <si>
    <t>Next shipment plan</t>
  </si>
  <si>
    <t>Bank Status</t>
  </si>
  <si>
    <t>1,2,3,…</t>
  </si>
  <si>
    <t>Latest shipment</t>
  </si>
  <si>
    <t>1,2,3…</t>
  </si>
  <si>
    <t>WH Bank Coverage Plan for AAM, Mexico</t>
  </si>
  <si>
    <t>Shipment Time FSI to Binex</t>
  </si>
  <si>
    <t>12-14 weeks</t>
  </si>
  <si>
    <t>25mm</t>
  </si>
  <si>
    <t>40257237 - T1XX SUV</t>
  </si>
  <si>
    <t>Program</t>
  </si>
  <si>
    <t>Part No.</t>
  </si>
  <si>
    <t>T1XX SUV</t>
  </si>
  <si>
    <t>GMC-5</t>
  </si>
  <si>
    <t>T1XX HD</t>
  </si>
  <si>
    <t>TRMF</t>
  </si>
  <si>
    <t>D2U C/G/H RDM</t>
  </si>
  <si>
    <t>GMC-1</t>
  </si>
  <si>
    <t>CUSW</t>
  </si>
  <si>
    <t>XXX_ 7237_34000</t>
  </si>
  <si>
    <t>LCR
weekly</t>
  </si>
  <si>
    <t>MCR
weekly</t>
  </si>
  <si>
    <t>Assy Plant</t>
  </si>
  <si>
    <t>Price</t>
  </si>
  <si>
    <t>Weight</t>
  </si>
  <si>
    <t>Shipment Delivery to Warehouse</t>
  </si>
  <si>
    <t>Customer Forecasts</t>
  </si>
  <si>
    <t>Delivered to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</si>
</sst>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61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rgb="FF006100"/>
      <name val="Aptos Narrow"/>
      <scheme val="minor"/>
    </font>
    <font>
      <b/>
      <sz val="12"/>
      <color rgb="FFFFFF00"/>
      <name val="Aptos Narrow"/>
      <scheme val="minor"/>
    </font>
    <font>
      <b/>
      <sz val="12"/>
      <color rgb="FFC00000"/>
      <name val="Aptos Narrow"/>
      <scheme val="minor"/>
    </font>
    <font>
      <b/>
      <sz val="12"/>
      <color rgb="FF9D5600"/>
      <name val="Aptos Narrow"/>
      <scheme val="minor"/>
    </font>
    <font>
      <b/>
      <sz val="12"/>
      <color rgb="FF3F3F76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0"/>
      <color rgb="FF000000"/>
      <name val="Aptos"/>
      <family val="34"/>
    </font>
    <font>
      <sz val="10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C9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4" borderId="0" applyNumberFormat="0" applyBorder="0" applyAlignment="0" applyProtection="0"/>
    <xf numFmtId="0" fontId="3" fillId="5" borderId="3" applyNumberFormat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16" fontId="1" fillId="0" borderId="1" xfId="0" applyNumberFormat="1" applyFont="1" applyBorder="1"/>
    <xf numFmtId="0" fontId="0" fillId="3" borderId="1" xfId="0" applyFill="1" applyBorder="1"/>
    <xf numFmtId="0" fontId="1" fillId="3" borderId="1" xfId="0" applyFont="1" applyFill="1" applyBorder="1"/>
    <xf numFmtId="0" fontId="6" fillId="6" borderId="0" xfId="0" applyFont="1" applyFill="1"/>
    <xf numFmtId="0" fontId="7" fillId="7" borderId="0" xfId="0" applyFont="1" applyFill="1"/>
    <xf numFmtId="0" fontId="8" fillId="8" borderId="0" xfId="0" applyFont="1" applyFill="1"/>
    <xf numFmtId="0" fontId="5" fillId="4" borderId="0" xfId="1" applyFont="1"/>
    <xf numFmtId="0" fontId="13" fillId="0" borderId="0" xfId="4"/>
    <xf numFmtId="0" fontId="12" fillId="0" borderId="1" xfId="4" applyFont="1" applyBorder="1" applyAlignment="1">
      <alignment horizontal="left" vertical="top" wrapText="1"/>
    </xf>
    <xf numFmtId="0" fontId="12" fillId="9" borderId="1" xfId="4" applyFont="1" applyFill="1" applyBorder="1" applyAlignment="1">
      <alignment horizontal="left" vertical="top" wrapText="1"/>
    </xf>
    <xf numFmtId="0" fontId="13" fillId="0" borderId="1" xfId="4" applyBorder="1" applyAlignment="1">
      <alignment horizontal="left" vertical="top" wrapText="1"/>
    </xf>
    <xf numFmtId="0" fontId="14" fillId="0" borderId="1" xfId="4" applyFont="1" applyBorder="1" applyAlignment="1">
      <alignment horizontal="left" vertical="top" wrapText="1"/>
    </xf>
    <xf numFmtId="0" fontId="13" fillId="9" borderId="1" xfId="4" applyFill="1" applyBorder="1" applyAlignment="1">
      <alignment horizontal="left" vertical="top" wrapText="1"/>
    </xf>
    <xf numFmtId="0" fontId="2" fillId="4" borderId="0" xfId="1"/>
    <xf numFmtId="0" fontId="16" fillId="11" borderId="0" xfId="6"/>
    <xf numFmtId="0" fontId="1" fillId="0" borderId="4" xfId="0" applyFont="1" applyBorder="1"/>
    <xf numFmtId="0" fontId="1" fillId="0" borderId="5" xfId="0" applyFont="1" applyBorder="1"/>
    <xf numFmtId="0" fontId="4" fillId="0" borderId="5" xfId="3" applyBorder="1"/>
    <xf numFmtId="0" fontId="0" fillId="0" borderId="5" xfId="0" applyBorder="1"/>
    <xf numFmtId="0" fontId="9" fillId="5" borderId="6" xfId="2" applyFont="1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/>
    <xf numFmtId="16" fontId="1" fillId="0" borderId="11" xfId="0" applyNumberFormat="1" applyFont="1" applyBorder="1"/>
    <xf numFmtId="0" fontId="0" fillId="0" borderId="10" xfId="0" applyBorder="1"/>
    <xf numFmtId="0" fontId="0" fillId="0" borderId="11" xfId="0" applyBorder="1"/>
    <xf numFmtId="0" fontId="0" fillId="3" borderId="11" xfId="0" applyFill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7" fillId="0" borderId="0" xfId="0" applyFont="1"/>
    <xf numFmtId="0" fontId="2" fillId="0" borderId="0" xfId="1" applyFill="1" applyBorder="1"/>
    <xf numFmtId="0" fontId="2" fillId="4" borderId="0" xfId="1" applyAlignment="1">
      <alignment horizontal="left" vertical="center" readingOrder="1"/>
    </xf>
    <xf numFmtId="0" fontId="2" fillId="0" borderId="0" xfId="1" applyFill="1" applyAlignment="1">
      <alignment horizontal="left" vertical="center" readingOrder="1"/>
    </xf>
    <xf numFmtId="0" fontId="1" fillId="0" borderId="15" xfId="0" applyFont="1" applyBorder="1"/>
    <xf numFmtId="0" fontId="0" fillId="0" borderId="15" xfId="0" applyBorder="1"/>
    <xf numFmtId="0" fontId="2" fillId="4" borderId="1" xfId="1" applyBorder="1"/>
    <xf numFmtId="0" fontId="2" fillId="0" borderId="0" xfId="1" applyFill="1"/>
    <xf numFmtId="0" fontId="16" fillId="0" borderId="5" xfId="6" applyFill="1" applyBorder="1"/>
    <xf numFmtId="0" fontId="2" fillId="4" borderId="2" xfId="1" applyBorder="1"/>
    <xf numFmtId="0" fontId="15" fillId="0" borderId="0" xfId="5" applyFill="1"/>
    <xf numFmtId="0" fontId="18" fillId="0" borderId="0" xfId="1" applyFont="1" applyFill="1"/>
    <xf numFmtId="0" fontId="2" fillId="0" borderId="1" xfId="1" applyFill="1" applyBorder="1"/>
    <xf numFmtId="164" fontId="14" fillId="0" borderId="1" xfId="4" applyNumberFormat="1" applyFont="1" applyBorder="1" applyAlignment="1">
      <alignment horizontal="left" vertical="top" wrapText="1"/>
    </xf>
    <xf numFmtId="0" fontId="0" fillId="3" borderId="0" xfId="0" applyFill="1" applyBorder="1"/>
    <xf numFmtId="0" fontId="0" fillId="3" borderId="16" xfId="0" applyFill="1" applyBorder="1"/>
  </cellXfs>
  <cellStyles count="7">
    <cellStyle name="Bad" xfId="5" builtinId="27"/>
    <cellStyle name="Explanatory Text" xfId="3" builtinId="53"/>
    <cellStyle name="Good" xfId="1" builtinId="26"/>
    <cellStyle name="Input" xfId="2" builtinId="20"/>
    <cellStyle name="Neutral" xfId="6" builtinId="28"/>
    <cellStyle name="Normal" xfId="0" builtinId="0"/>
    <cellStyle name="Normal 2" xfId="4" xr:uid="{F50BAD14-E3A4-624B-9738-C9C86B500E99}"/>
  </cellStyles>
  <dxfs count="5">
    <dxf>
      <font>
        <b/>
        <i/>
        <strike val="0"/>
        <color rgb="FFFFFF00"/>
      </font>
      <fill>
        <patternFill>
          <bgColor rgb="FFFF0000"/>
        </patternFill>
      </fill>
    </dxf>
    <dxf>
      <font>
        <b/>
        <i/>
        <strike val="0"/>
        <color rgb="FFFFFF00"/>
      </font>
      <fill>
        <patternFill>
          <bgColor rgb="FFFF0000"/>
        </patternFill>
      </fill>
    </dxf>
    <dxf>
      <font>
        <b/>
        <i val="0"/>
        <color theme="5" tint="-0.24994659260841701"/>
      </font>
      <fill>
        <patternFill>
          <fgColor auto="1"/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9D5600"/>
      <color rgb="FFFFE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6A8E-BA51-C442-9121-C29CCEF0BCAF}">
  <dimension ref="A1:BD15"/>
  <sheetViews>
    <sheetView showGridLines="0" zoomScale="115" workbookViewId="0">
      <pane xSplit="3" ySplit="4" topLeftCell="D5" activePane="bottomRight" state="frozen"/>
      <selection activeCell="AC19" sqref="AC19"/>
      <selection pane="topRight" activeCell="AC19" sqref="AC19"/>
      <selection pane="bottomLeft" activeCell="AC19" sqref="AC19"/>
      <selection pane="bottomRight" activeCell="D21" sqref="D21"/>
    </sheetView>
  </sheetViews>
  <sheetFormatPr baseColWidth="10" defaultColWidth="11" defaultRowHeight="16" x14ac:dyDescent="0.2"/>
  <cols>
    <col min="1" max="1" width="15.83203125" customWidth="1"/>
    <col min="2" max="2" width="2.83203125" customWidth="1"/>
    <col min="3" max="3" width="35.6640625" bestFit="1" customWidth="1"/>
    <col min="9" max="9" width="11.6640625" bestFit="1" customWidth="1"/>
  </cols>
  <sheetData>
    <row r="1" spans="1:56" ht="17" thickBot="1" x14ac:dyDescent="0.25"/>
    <row r="2" spans="1:56" x14ac:dyDescent="0.2">
      <c r="C2" s="20" t="s">
        <v>16</v>
      </c>
      <c r="D2" s="21"/>
      <c r="E2" s="21"/>
      <c r="F2" s="22" t="s">
        <v>17</v>
      </c>
      <c r="G2" s="23"/>
      <c r="H2" s="23"/>
      <c r="I2" s="24" t="s">
        <v>18</v>
      </c>
      <c r="J2" s="21"/>
      <c r="K2" s="25" t="s">
        <v>19</v>
      </c>
      <c r="L2" s="21"/>
      <c r="M2" s="21"/>
      <c r="N2" s="21"/>
      <c r="O2" s="42"/>
      <c r="P2" s="43"/>
      <c r="Q2" s="43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6"/>
      <c r="AY2" s="1"/>
      <c r="AZ2" s="1"/>
      <c r="BA2" s="1"/>
      <c r="BB2" s="1"/>
      <c r="BC2" s="1"/>
    </row>
    <row r="3" spans="1:56" x14ac:dyDescent="0.2">
      <c r="C3" s="27"/>
      <c r="M3" s="39"/>
      <c r="N3" s="39"/>
      <c r="O3" s="45"/>
      <c r="P3" s="45"/>
      <c r="Q3" s="45"/>
      <c r="R3" s="45"/>
      <c r="S3" s="45"/>
      <c r="T3" s="45"/>
      <c r="V3" s="49">
        <v>1</v>
      </c>
      <c r="W3" s="49">
        <v>2</v>
      </c>
      <c r="X3" s="49">
        <v>3</v>
      </c>
      <c r="Y3" s="49">
        <v>4</v>
      </c>
      <c r="Z3" s="49">
        <v>5</v>
      </c>
      <c r="AA3" s="49">
        <v>6</v>
      </c>
      <c r="AB3" s="49">
        <v>7</v>
      </c>
      <c r="AC3" s="49">
        <v>8</v>
      </c>
      <c r="AD3" s="49">
        <v>9</v>
      </c>
      <c r="AE3" s="49">
        <v>10</v>
      </c>
      <c r="AF3" s="49">
        <v>11</v>
      </c>
      <c r="AG3" s="49">
        <v>12</v>
      </c>
      <c r="AH3" s="49">
        <v>13</v>
      </c>
      <c r="AI3" s="49">
        <v>14</v>
      </c>
      <c r="AJ3" s="49">
        <v>15</v>
      </c>
      <c r="AK3" s="49">
        <v>16</v>
      </c>
      <c r="AX3" s="28"/>
    </row>
    <row r="4" spans="1:56" x14ac:dyDescent="0.2">
      <c r="A4" s="1" t="s">
        <v>3</v>
      </c>
      <c r="C4" s="27" t="s">
        <v>0</v>
      </c>
      <c r="M4" s="39"/>
      <c r="W4" s="1"/>
      <c r="X4" s="1"/>
      <c r="AX4" s="28"/>
    </row>
    <row r="5" spans="1:56" x14ac:dyDescent="0.2">
      <c r="A5" s="8" t="s">
        <v>4</v>
      </c>
      <c r="C5" s="27" t="s">
        <v>1</v>
      </c>
      <c r="M5" s="39"/>
      <c r="N5" s="40">
        <v>303000004</v>
      </c>
      <c r="R5" s="48"/>
      <c r="AX5" s="28"/>
    </row>
    <row r="6" spans="1:56" x14ac:dyDescent="0.2">
      <c r="A6" s="9" t="s">
        <v>5</v>
      </c>
      <c r="C6" s="27" t="s">
        <v>2</v>
      </c>
      <c r="M6" s="41"/>
      <c r="N6" s="40">
        <v>12000</v>
      </c>
      <c r="S6" s="18" t="s">
        <v>30</v>
      </c>
      <c r="U6" s="1"/>
      <c r="V6" s="1"/>
      <c r="W6" s="1"/>
      <c r="X6" s="1"/>
      <c r="AX6" s="28"/>
    </row>
    <row r="7" spans="1:56" x14ac:dyDescent="0.2">
      <c r="A7" s="10" t="s">
        <v>7</v>
      </c>
      <c r="C7" s="27"/>
      <c r="M7" s="41"/>
      <c r="S7">
        <v>1</v>
      </c>
      <c r="T7">
        <v>2</v>
      </c>
      <c r="U7" s="1">
        <v>3</v>
      </c>
      <c r="V7">
        <v>4</v>
      </c>
      <c r="W7">
        <v>5</v>
      </c>
      <c r="X7" s="1">
        <v>6</v>
      </c>
      <c r="Y7">
        <v>7</v>
      </c>
      <c r="Z7">
        <v>8</v>
      </c>
      <c r="AA7" s="1">
        <v>9</v>
      </c>
      <c r="AB7">
        <v>10</v>
      </c>
      <c r="AC7">
        <v>11</v>
      </c>
      <c r="AD7" s="1">
        <v>12</v>
      </c>
      <c r="AE7">
        <v>13</v>
      </c>
      <c r="AF7">
        <v>14</v>
      </c>
      <c r="AG7">
        <v>15</v>
      </c>
      <c r="AH7">
        <v>16</v>
      </c>
      <c r="AX7" s="28"/>
    </row>
    <row r="8" spans="1:56" x14ac:dyDescent="0.2">
      <c r="A8" s="11" t="s">
        <v>8</v>
      </c>
      <c r="C8" s="29" t="s">
        <v>20</v>
      </c>
      <c r="D8" s="5">
        <v>46062</v>
      </c>
      <c r="E8" s="5">
        <f t="shared" ref="E8:AX8" si="0">D8+7</f>
        <v>46069</v>
      </c>
      <c r="F8" s="5">
        <f t="shared" si="0"/>
        <v>46076</v>
      </c>
      <c r="G8" s="5">
        <f t="shared" si="0"/>
        <v>46083</v>
      </c>
      <c r="H8" s="5">
        <f t="shared" si="0"/>
        <v>46090</v>
      </c>
      <c r="I8" s="5">
        <f t="shared" si="0"/>
        <v>46097</v>
      </c>
      <c r="J8" s="5">
        <f t="shared" si="0"/>
        <v>46104</v>
      </c>
      <c r="K8" s="5">
        <f t="shared" si="0"/>
        <v>46111</v>
      </c>
      <c r="L8" s="5">
        <f t="shared" si="0"/>
        <v>46118</v>
      </c>
      <c r="M8" s="5">
        <f t="shared" si="0"/>
        <v>46125</v>
      </c>
      <c r="N8" s="5">
        <f t="shared" si="0"/>
        <v>46132</v>
      </c>
      <c r="O8" s="5">
        <f t="shared" si="0"/>
        <v>46139</v>
      </c>
      <c r="P8" s="5">
        <f t="shared" si="0"/>
        <v>46146</v>
      </c>
      <c r="Q8" s="5">
        <f t="shared" si="0"/>
        <v>46153</v>
      </c>
      <c r="R8" s="5">
        <f t="shared" si="0"/>
        <v>46160</v>
      </c>
      <c r="S8" s="5">
        <f t="shared" si="0"/>
        <v>46167</v>
      </c>
      <c r="T8" s="5">
        <f t="shared" si="0"/>
        <v>46174</v>
      </c>
      <c r="U8" s="5">
        <f t="shared" si="0"/>
        <v>46181</v>
      </c>
      <c r="V8" s="5">
        <f t="shared" si="0"/>
        <v>46188</v>
      </c>
      <c r="W8" s="5">
        <f t="shared" si="0"/>
        <v>46195</v>
      </c>
      <c r="X8" s="5">
        <f t="shared" si="0"/>
        <v>46202</v>
      </c>
      <c r="Y8" s="5">
        <f t="shared" si="0"/>
        <v>46209</v>
      </c>
      <c r="Z8" s="5">
        <f t="shared" si="0"/>
        <v>46216</v>
      </c>
      <c r="AA8" s="5">
        <f t="shared" si="0"/>
        <v>46223</v>
      </c>
      <c r="AB8" s="5">
        <f t="shared" si="0"/>
        <v>46230</v>
      </c>
      <c r="AC8" s="5">
        <f t="shared" si="0"/>
        <v>46237</v>
      </c>
      <c r="AD8" s="5">
        <f t="shared" si="0"/>
        <v>46244</v>
      </c>
      <c r="AE8" s="5">
        <f t="shared" si="0"/>
        <v>46251</v>
      </c>
      <c r="AF8" s="5">
        <f t="shared" si="0"/>
        <v>46258</v>
      </c>
      <c r="AG8" s="5">
        <f t="shared" si="0"/>
        <v>46265</v>
      </c>
      <c r="AH8" s="5">
        <f t="shared" si="0"/>
        <v>46272</v>
      </c>
      <c r="AI8" s="5">
        <f t="shared" si="0"/>
        <v>46279</v>
      </c>
      <c r="AJ8" s="5">
        <f t="shared" si="0"/>
        <v>46286</v>
      </c>
      <c r="AK8" s="5">
        <f t="shared" si="0"/>
        <v>46293</v>
      </c>
      <c r="AL8" s="5">
        <f t="shared" si="0"/>
        <v>46300</v>
      </c>
      <c r="AM8" s="5">
        <f t="shared" si="0"/>
        <v>46307</v>
      </c>
      <c r="AN8" s="5">
        <f t="shared" si="0"/>
        <v>46314</v>
      </c>
      <c r="AO8" s="5">
        <f t="shared" si="0"/>
        <v>46321</v>
      </c>
      <c r="AP8" s="5">
        <f t="shared" si="0"/>
        <v>46328</v>
      </c>
      <c r="AQ8" s="5">
        <f t="shared" si="0"/>
        <v>46335</v>
      </c>
      <c r="AR8" s="5">
        <f t="shared" si="0"/>
        <v>46342</v>
      </c>
      <c r="AS8" s="5">
        <f t="shared" si="0"/>
        <v>46349</v>
      </c>
      <c r="AT8" s="5">
        <f t="shared" si="0"/>
        <v>46356</v>
      </c>
      <c r="AU8" s="5">
        <f t="shared" si="0"/>
        <v>46363</v>
      </c>
      <c r="AV8" s="5">
        <f t="shared" si="0"/>
        <v>46370</v>
      </c>
      <c r="AW8" s="5">
        <f t="shared" si="0"/>
        <v>46377</v>
      </c>
      <c r="AX8" s="30">
        <f t="shared" si="0"/>
        <v>46384</v>
      </c>
    </row>
    <row r="9" spans="1:56" x14ac:dyDescent="0.2">
      <c r="C9" s="31" t="s">
        <v>36</v>
      </c>
      <c r="D9" s="4">
        <v>0</v>
      </c>
      <c r="E9" s="47">
        <v>18000</v>
      </c>
      <c r="F9" s="4">
        <v>0</v>
      </c>
      <c r="G9" s="4">
        <v>0</v>
      </c>
      <c r="H9" s="4"/>
      <c r="I9" s="4">
        <v>0</v>
      </c>
      <c r="J9" s="47">
        <v>26000</v>
      </c>
      <c r="K9" s="4"/>
      <c r="L9" s="4">
        <v>0</v>
      </c>
      <c r="M9" s="4">
        <v>0</v>
      </c>
      <c r="N9" s="2"/>
      <c r="O9" s="2"/>
      <c r="P9" s="2"/>
      <c r="Q9" s="44">
        <v>14000</v>
      </c>
      <c r="R9" s="44">
        <v>14000</v>
      </c>
      <c r="S9" s="50"/>
      <c r="T9" s="2"/>
      <c r="U9" s="2">
        <v>16000</v>
      </c>
      <c r="V9" s="2">
        <v>16000</v>
      </c>
      <c r="W9" s="2"/>
      <c r="X9" s="2">
        <v>16000</v>
      </c>
      <c r="Y9" s="2"/>
      <c r="Z9" s="2">
        <v>0</v>
      </c>
      <c r="AA9" s="2">
        <v>0</v>
      </c>
      <c r="AB9" s="2">
        <v>0</v>
      </c>
      <c r="AC9" s="2">
        <v>12000</v>
      </c>
      <c r="AD9" s="2"/>
      <c r="AE9" s="2"/>
      <c r="AF9" s="2"/>
      <c r="AG9" s="2"/>
      <c r="AH9" s="2">
        <v>34000</v>
      </c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32"/>
    </row>
    <row r="10" spans="1:56" x14ac:dyDescent="0.2">
      <c r="A10" t="s">
        <v>11</v>
      </c>
      <c r="C10" s="31" t="s">
        <v>6</v>
      </c>
      <c r="D10" s="2">
        <v>36000</v>
      </c>
      <c r="E10" s="6">
        <f>D13</f>
        <v>36000</v>
      </c>
      <c r="F10" s="6">
        <f t="shared" ref="F10:AX10" si="1">E13</f>
        <v>54000</v>
      </c>
      <c r="G10" s="6">
        <f t="shared" si="1"/>
        <v>54000</v>
      </c>
      <c r="H10" s="6">
        <f>G13</f>
        <v>54000</v>
      </c>
      <c r="I10" s="6">
        <f t="shared" si="1"/>
        <v>54000</v>
      </c>
      <c r="J10" s="6">
        <f t="shared" si="1"/>
        <v>54000</v>
      </c>
      <c r="K10" s="6">
        <f t="shared" si="1"/>
        <v>80000</v>
      </c>
      <c r="L10" s="6">
        <f t="shared" si="1"/>
        <v>80000</v>
      </c>
      <c r="M10" s="6">
        <f>L13</f>
        <v>80000</v>
      </c>
      <c r="N10" s="6">
        <f t="shared" si="1"/>
        <v>76400</v>
      </c>
      <c r="O10" s="6">
        <f t="shared" si="1"/>
        <v>64880</v>
      </c>
      <c r="P10" s="6">
        <f t="shared" si="1"/>
        <v>62720</v>
      </c>
      <c r="Q10" s="6">
        <f t="shared" si="1"/>
        <v>57320</v>
      </c>
      <c r="R10" s="6">
        <f t="shared" si="1"/>
        <v>65920</v>
      </c>
      <c r="S10" s="6">
        <f t="shared" si="1"/>
        <v>74880</v>
      </c>
      <c r="T10" s="6">
        <f t="shared" si="1"/>
        <v>69840</v>
      </c>
      <c r="U10" s="6">
        <f t="shared" si="1"/>
        <v>64440</v>
      </c>
      <c r="V10" s="6">
        <f t="shared" si="1"/>
        <v>75400</v>
      </c>
      <c r="W10" s="6">
        <f t="shared" si="1"/>
        <v>86720</v>
      </c>
      <c r="X10" s="6">
        <f t="shared" si="1"/>
        <v>81680</v>
      </c>
      <c r="Y10" s="6">
        <f t="shared" si="1"/>
        <v>94080</v>
      </c>
      <c r="Z10" s="6">
        <f t="shared" si="1"/>
        <v>87960</v>
      </c>
      <c r="AA10" s="6">
        <f t="shared" si="1"/>
        <v>82560</v>
      </c>
      <c r="AB10" s="6">
        <f t="shared" si="1"/>
        <v>76800</v>
      </c>
      <c r="AC10" s="6">
        <f t="shared" si="1"/>
        <v>71400</v>
      </c>
      <c r="AD10" s="6">
        <f t="shared" si="1"/>
        <v>77640</v>
      </c>
      <c r="AE10" s="6">
        <f t="shared" si="1"/>
        <v>72240</v>
      </c>
      <c r="AF10" s="6">
        <f t="shared" si="1"/>
        <v>66840</v>
      </c>
      <c r="AG10" s="6">
        <f t="shared" si="1"/>
        <v>61440</v>
      </c>
      <c r="AH10" s="6">
        <f t="shared" si="1"/>
        <v>56760</v>
      </c>
      <c r="AI10" s="6">
        <f t="shared" si="1"/>
        <v>85000</v>
      </c>
      <c r="AJ10" s="6">
        <f t="shared" si="1"/>
        <v>80320</v>
      </c>
      <c r="AK10" s="6">
        <f t="shared" si="1"/>
        <v>74560</v>
      </c>
      <c r="AL10" s="6">
        <f t="shared" si="1"/>
        <v>68800</v>
      </c>
      <c r="AM10" s="6">
        <f t="shared" si="1"/>
        <v>46840</v>
      </c>
      <c r="AN10" s="6">
        <f t="shared" si="1"/>
        <v>46840</v>
      </c>
      <c r="AO10" s="6">
        <f t="shared" si="1"/>
        <v>46840</v>
      </c>
      <c r="AP10" s="6">
        <f t="shared" si="1"/>
        <v>46840</v>
      </c>
      <c r="AQ10" s="6">
        <f t="shared" si="1"/>
        <v>23080</v>
      </c>
      <c r="AR10" s="6">
        <f t="shared" si="1"/>
        <v>23080</v>
      </c>
      <c r="AS10" s="6">
        <f t="shared" si="1"/>
        <v>23080</v>
      </c>
      <c r="AT10" s="6">
        <f t="shared" si="1"/>
        <v>23080</v>
      </c>
      <c r="AU10" s="6">
        <f t="shared" si="1"/>
        <v>23080</v>
      </c>
      <c r="AV10" s="6">
        <f t="shared" si="1"/>
        <v>9760</v>
      </c>
      <c r="AW10" s="6">
        <f t="shared" si="1"/>
        <v>9760</v>
      </c>
      <c r="AX10" s="33">
        <f t="shared" si="1"/>
        <v>9760</v>
      </c>
    </row>
    <row r="11" spans="1:56" x14ac:dyDescent="0.2">
      <c r="A11" s="19" t="s">
        <v>13</v>
      </c>
      <c r="C11" s="31" t="s">
        <v>37</v>
      </c>
      <c r="D11" s="2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52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53"/>
    </row>
    <row r="12" spans="1:56" x14ac:dyDescent="0.2">
      <c r="A12" s="38" t="s">
        <v>14</v>
      </c>
      <c r="C12" s="31" t="s">
        <v>38</v>
      </c>
      <c r="D12" s="2"/>
      <c r="E12" s="2"/>
      <c r="F12" s="2"/>
      <c r="G12" s="2"/>
      <c r="H12" s="2"/>
      <c r="I12" s="2">
        <v>0</v>
      </c>
      <c r="J12" s="2">
        <v>0</v>
      </c>
      <c r="K12" s="2"/>
      <c r="L12" s="2"/>
      <c r="M12" s="44">
        <v>3600</v>
      </c>
      <c r="N12" s="44">
        <v>11520</v>
      </c>
      <c r="O12" s="44">
        <v>2160</v>
      </c>
      <c r="P12" s="44">
        <v>5400</v>
      </c>
      <c r="Q12" s="18">
        <v>5400</v>
      </c>
      <c r="R12" s="44">
        <v>5040</v>
      </c>
      <c r="S12" s="44">
        <v>5040</v>
      </c>
      <c r="T12" s="2">
        <v>5400</v>
      </c>
      <c r="U12" s="2">
        <v>5040</v>
      </c>
      <c r="V12" s="2">
        <v>4680</v>
      </c>
      <c r="W12" s="2">
        <v>5040</v>
      </c>
      <c r="X12" s="2">
        <v>3600</v>
      </c>
      <c r="Y12" s="2">
        <v>6120</v>
      </c>
      <c r="Z12" s="2">
        <v>5400</v>
      </c>
      <c r="AA12" s="2">
        <v>5760</v>
      </c>
      <c r="AB12" s="2">
        <v>5400</v>
      </c>
      <c r="AC12" s="2">
        <v>5760</v>
      </c>
      <c r="AD12" s="2">
        <v>5400</v>
      </c>
      <c r="AE12" s="2">
        <v>5400</v>
      </c>
      <c r="AF12" s="2">
        <v>5400</v>
      </c>
      <c r="AG12" s="2">
        <v>4680</v>
      </c>
      <c r="AH12" s="2">
        <v>5760</v>
      </c>
      <c r="AI12" s="2">
        <v>4680</v>
      </c>
      <c r="AJ12" s="2">
        <v>5760</v>
      </c>
      <c r="AK12" s="2">
        <v>5760</v>
      </c>
      <c r="AL12" s="2">
        <v>21960</v>
      </c>
      <c r="AM12" s="2">
        <v>0</v>
      </c>
      <c r="AN12" s="2">
        <v>0</v>
      </c>
      <c r="AO12" s="2">
        <v>0</v>
      </c>
      <c r="AP12" s="2">
        <v>23760</v>
      </c>
      <c r="AQ12" s="2">
        <v>0</v>
      </c>
      <c r="AR12" s="2">
        <v>0</v>
      </c>
      <c r="AS12" s="2">
        <v>0</v>
      </c>
      <c r="AT12" s="2">
        <v>0</v>
      </c>
      <c r="AU12" s="2">
        <v>13320</v>
      </c>
      <c r="AV12" s="2">
        <v>0</v>
      </c>
      <c r="AW12" s="2">
        <v>0</v>
      </c>
      <c r="AX12" s="2">
        <v>0</v>
      </c>
    </row>
    <row r="13" spans="1:56" s="1" customFormat="1" x14ac:dyDescent="0.2">
      <c r="A13" t="s">
        <v>15</v>
      </c>
      <c r="C13" s="34" t="s">
        <v>9</v>
      </c>
      <c r="D13" s="3">
        <f>D9+D10-D12</f>
        <v>36000</v>
      </c>
      <c r="E13" s="7">
        <f>E9+E10-E12</f>
        <v>54000</v>
      </c>
      <c r="F13" s="7">
        <f>F9+F10-F12</f>
        <v>54000</v>
      </c>
      <c r="G13" s="7">
        <f t="shared" ref="G13:M13" si="2">G9+G10-G12</f>
        <v>54000</v>
      </c>
      <c r="H13" s="7">
        <f t="shared" si="2"/>
        <v>54000</v>
      </c>
      <c r="I13" s="7">
        <f t="shared" si="2"/>
        <v>54000</v>
      </c>
      <c r="J13" s="7">
        <f t="shared" si="2"/>
        <v>80000</v>
      </c>
      <c r="K13" s="7">
        <f t="shared" si="2"/>
        <v>80000</v>
      </c>
      <c r="L13" s="7">
        <f t="shared" si="2"/>
        <v>80000</v>
      </c>
      <c r="M13" s="7">
        <f t="shared" si="2"/>
        <v>76400</v>
      </c>
      <c r="N13" s="7">
        <f>N9+N10-N12</f>
        <v>64880</v>
      </c>
      <c r="O13" s="7">
        <f t="shared" ref="O13" si="3">O9+O10-O12</f>
        <v>62720</v>
      </c>
      <c r="P13" s="7">
        <f>P9+P10-P12</f>
        <v>57320</v>
      </c>
      <c r="Q13" s="7">
        <f t="shared" ref="Q13:AX13" si="4">Q9+Q10-Q12</f>
        <v>65920</v>
      </c>
      <c r="R13" s="7">
        <f t="shared" si="4"/>
        <v>74880</v>
      </c>
      <c r="S13" s="7">
        <f t="shared" si="4"/>
        <v>69840</v>
      </c>
      <c r="T13" s="7">
        <f t="shared" si="4"/>
        <v>64440</v>
      </c>
      <c r="U13" s="7">
        <f t="shared" si="4"/>
        <v>75400</v>
      </c>
      <c r="V13" s="7">
        <f t="shared" si="4"/>
        <v>86720</v>
      </c>
      <c r="W13" s="7">
        <f t="shared" si="4"/>
        <v>81680</v>
      </c>
      <c r="X13" s="7">
        <f t="shared" si="4"/>
        <v>94080</v>
      </c>
      <c r="Y13" s="7">
        <f t="shared" si="4"/>
        <v>87960</v>
      </c>
      <c r="Z13" s="7">
        <f t="shared" si="4"/>
        <v>82560</v>
      </c>
      <c r="AA13" s="7">
        <f t="shared" si="4"/>
        <v>76800</v>
      </c>
      <c r="AB13" s="7">
        <f>AB9+AB10-AB12-AB11</f>
        <v>71400</v>
      </c>
      <c r="AC13" s="7">
        <f>AC9+AC10-AC12-AC11</f>
        <v>77640</v>
      </c>
      <c r="AD13" s="7">
        <f t="shared" ref="AD13:AO13" si="5">AD9+AD10-AD12-AD11</f>
        <v>72240</v>
      </c>
      <c r="AE13" s="7">
        <f t="shared" si="5"/>
        <v>66840</v>
      </c>
      <c r="AF13" s="7">
        <f t="shared" si="5"/>
        <v>61440</v>
      </c>
      <c r="AG13" s="7">
        <f t="shared" si="5"/>
        <v>56760</v>
      </c>
      <c r="AH13" s="7">
        <f t="shared" si="5"/>
        <v>85000</v>
      </c>
      <c r="AI13" s="7">
        <f t="shared" si="5"/>
        <v>80320</v>
      </c>
      <c r="AJ13" s="7">
        <f t="shared" si="5"/>
        <v>74560</v>
      </c>
      <c r="AK13" s="7">
        <f t="shared" si="5"/>
        <v>68800</v>
      </c>
      <c r="AL13" s="7">
        <f t="shared" si="5"/>
        <v>46840</v>
      </c>
      <c r="AM13" s="7">
        <f t="shared" si="5"/>
        <v>46840</v>
      </c>
      <c r="AN13" s="7">
        <f t="shared" si="5"/>
        <v>46840</v>
      </c>
      <c r="AO13" s="7">
        <f t="shared" si="5"/>
        <v>46840</v>
      </c>
      <c r="AP13" s="7">
        <f>AP9+AP10-AP12-AP11</f>
        <v>23080</v>
      </c>
      <c r="AQ13" s="7">
        <f t="shared" ref="AQ13" si="6">AQ9+AQ10-AQ12-AQ11</f>
        <v>23080</v>
      </c>
      <c r="AR13" s="7">
        <f t="shared" ref="AR13" si="7">AR9+AR10-AR12-AR11</f>
        <v>23080</v>
      </c>
      <c r="AS13" s="7">
        <f t="shared" ref="AS13" si="8">AS9+AS10-AS12-AS11</f>
        <v>23080</v>
      </c>
      <c r="AT13" s="7">
        <f t="shared" ref="AT13" si="9">AT9+AT10-AT12-AT11</f>
        <v>23080</v>
      </c>
      <c r="AU13" s="7">
        <f t="shared" ref="AU13" si="10">AU9+AU10-AU12-AU11</f>
        <v>9760</v>
      </c>
      <c r="AV13" s="7">
        <f t="shared" ref="AV13" si="11">AV9+AV10-AV12-AV11</f>
        <v>9760</v>
      </c>
      <c r="AW13" s="7">
        <f t="shared" ref="AW13" si="12">AW9+AW10-AW12-AW11</f>
        <v>9760</v>
      </c>
      <c r="AX13" s="7">
        <f t="shared" ref="AX13" si="13">AX9+AX10-AX12-AX11</f>
        <v>9760</v>
      </c>
      <c r="AY13"/>
      <c r="AZ13"/>
      <c r="BA13"/>
      <c r="BB13"/>
      <c r="BC13"/>
      <c r="BD13"/>
    </row>
    <row r="14" spans="1:56" x14ac:dyDescent="0.2">
      <c r="C14" s="31" t="s">
        <v>10</v>
      </c>
      <c r="D14" s="2">
        <v>54472</v>
      </c>
      <c r="E14" s="6">
        <f>D14</f>
        <v>54472</v>
      </c>
      <c r="F14" s="6">
        <f t="shared" ref="F14:AX14" si="14">E14</f>
        <v>54472</v>
      </c>
      <c r="G14" s="6">
        <f t="shared" si="14"/>
        <v>54472</v>
      </c>
      <c r="H14" s="6">
        <f t="shared" si="14"/>
        <v>54472</v>
      </c>
      <c r="I14" s="6">
        <f t="shared" si="14"/>
        <v>54472</v>
      </c>
      <c r="J14" s="6">
        <f t="shared" si="14"/>
        <v>54472</v>
      </c>
      <c r="K14" s="6">
        <f t="shared" si="14"/>
        <v>54472</v>
      </c>
      <c r="L14" s="6">
        <f t="shared" si="14"/>
        <v>54472</v>
      </c>
      <c r="M14" s="6">
        <f t="shared" si="14"/>
        <v>54472</v>
      </c>
      <c r="N14" s="6">
        <f t="shared" si="14"/>
        <v>54472</v>
      </c>
      <c r="O14" s="6">
        <f t="shared" si="14"/>
        <v>54472</v>
      </c>
      <c r="P14" s="6">
        <f t="shared" si="14"/>
        <v>54472</v>
      </c>
      <c r="Q14" s="6">
        <f t="shared" si="14"/>
        <v>54472</v>
      </c>
      <c r="R14" s="6">
        <f t="shared" si="14"/>
        <v>54472</v>
      </c>
      <c r="S14" s="6">
        <f t="shared" si="14"/>
        <v>54472</v>
      </c>
      <c r="T14" s="6">
        <f t="shared" si="14"/>
        <v>54472</v>
      </c>
      <c r="U14" s="6">
        <f t="shared" si="14"/>
        <v>54472</v>
      </c>
      <c r="V14" s="6">
        <f t="shared" si="14"/>
        <v>54472</v>
      </c>
      <c r="W14" s="6">
        <f t="shared" si="14"/>
        <v>54472</v>
      </c>
      <c r="X14" s="6">
        <f t="shared" si="14"/>
        <v>54472</v>
      </c>
      <c r="Y14" s="6">
        <f t="shared" si="14"/>
        <v>54472</v>
      </c>
      <c r="Z14" s="6">
        <f t="shared" si="14"/>
        <v>54472</v>
      </c>
      <c r="AA14" s="6">
        <f t="shared" si="14"/>
        <v>54472</v>
      </c>
      <c r="AB14" s="6">
        <f t="shared" si="14"/>
        <v>54472</v>
      </c>
      <c r="AC14" s="6">
        <f t="shared" si="14"/>
        <v>54472</v>
      </c>
      <c r="AD14" s="6">
        <f t="shared" si="14"/>
        <v>54472</v>
      </c>
      <c r="AE14" s="6">
        <f t="shared" si="14"/>
        <v>54472</v>
      </c>
      <c r="AF14" s="6">
        <f t="shared" si="14"/>
        <v>54472</v>
      </c>
      <c r="AG14" s="6">
        <f t="shared" si="14"/>
        <v>54472</v>
      </c>
      <c r="AH14" s="6">
        <f t="shared" si="14"/>
        <v>54472</v>
      </c>
      <c r="AI14" s="6">
        <f t="shared" si="14"/>
        <v>54472</v>
      </c>
      <c r="AJ14" s="6">
        <f t="shared" si="14"/>
        <v>54472</v>
      </c>
      <c r="AK14" s="6">
        <f t="shared" si="14"/>
        <v>54472</v>
      </c>
      <c r="AL14" s="6">
        <f t="shared" si="14"/>
        <v>54472</v>
      </c>
      <c r="AM14" s="6">
        <f t="shared" si="14"/>
        <v>54472</v>
      </c>
      <c r="AN14" s="6">
        <f t="shared" si="14"/>
        <v>54472</v>
      </c>
      <c r="AO14" s="6">
        <f t="shared" si="14"/>
        <v>54472</v>
      </c>
      <c r="AP14" s="6">
        <f t="shared" si="14"/>
        <v>54472</v>
      </c>
      <c r="AQ14" s="6">
        <f t="shared" si="14"/>
        <v>54472</v>
      </c>
      <c r="AR14" s="6">
        <f t="shared" si="14"/>
        <v>54472</v>
      </c>
      <c r="AS14" s="6">
        <f t="shared" si="14"/>
        <v>54472</v>
      </c>
      <c r="AT14" s="6">
        <f t="shared" si="14"/>
        <v>54472</v>
      </c>
      <c r="AU14" s="6">
        <f t="shared" si="14"/>
        <v>54472</v>
      </c>
      <c r="AV14" s="6">
        <f t="shared" si="14"/>
        <v>54472</v>
      </c>
      <c r="AW14" s="6">
        <f t="shared" si="14"/>
        <v>54472</v>
      </c>
      <c r="AX14" s="33">
        <f t="shared" si="14"/>
        <v>54472</v>
      </c>
      <c r="BD14" s="1"/>
    </row>
    <row r="15" spans="1:56" ht="17" thickBot="1" x14ac:dyDescent="0.25">
      <c r="C15" s="35" t="s">
        <v>12</v>
      </c>
      <c r="D15" s="36">
        <f>D13-D14</f>
        <v>-18472</v>
      </c>
      <c r="E15" s="36">
        <f>E13-E14</f>
        <v>-472</v>
      </c>
      <c r="F15" s="36">
        <f>F13-F14</f>
        <v>-472</v>
      </c>
      <c r="G15" s="36">
        <f t="shared" ref="G15" si="15">G13-G14</f>
        <v>-472</v>
      </c>
      <c r="H15" s="36">
        <f>H13-H14</f>
        <v>-472</v>
      </c>
      <c r="I15" s="36">
        <f t="shared" ref="I15:AX15" si="16">I13-I14</f>
        <v>-472</v>
      </c>
      <c r="J15" s="36">
        <f t="shared" si="16"/>
        <v>25528</v>
      </c>
      <c r="K15" s="36">
        <f t="shared" si="16"/>
        <v>25528</v>
      </c>
      <c r="L15" s="36">
        <f t="shared" si="16"/>
        <v>25528</v>
      </c>
      <c r="M15" s="36">
        <f t="shared" si="16"/>
        <v>21928</v>
      </c>
      <c r="N15" s="36">
        <f t="shared" si="16"/>
        <v>10408</v>
      </c>
      <c r="O15" s="36">
        <f t="shared" si="16"/>
        <v>8248</v>
      </c>
      <c r="P15" s="36">
        <f t="shared" si="16"/>
        <v>2848</v>
      </c>
      <c r="Q15" s="36">
        <f t="shared" si="16"/>
        <v>11448</v>
      </c>
      <c r="R15" s="36">
        <f t="shared" si="16"/>
        <v>20408</v>
      </c>
      <c r="S15" s="36">
        <f t="shared" si="16"/>
        <v>15368</v>
      </c>
      <c r="T15" s="36">
        <f t="shared" si="16"/>
        <v>9968</v>
      </c>
      <c r="U15" s="36">
        <f t="shared" si="16"/>
        <v>20928</v>
      </c>
      <c r="V15" s="36">
        <f t="shared" si="16"/>
        <v>32248</v>
      </c>
      <c r="W15" s="36">
        <f t="shared" si="16"/>
        <v>27208</v>
      </c>
      <c r="X15" s="36">
        <f t="shared" si="16"/>
        <v>39608</v>
      </c>
      <c r="Y15" s="36">
        <f t="shared" si="16"/>
        <v>33488</v>
      </c>
      <c r="Z15" s="36">
        <f t="shared" si="16"/>
        <v>28088</v>
      </c>
      <c r="AA15" s="36">
        <f t="shared" si="16"/>
        <v>22328</v>
      </c>
      <c r="AB15" s="36">
        <f t="shared" si="16"/>
        <v>16928</v>
      </c>
      <c r="AC15" s="36">
        <f t="shared" si="16"/>
        <v>23168</v>
      </c>
      <c r="AD15" s="36">
        <f t="shared" si="16"/>
        <v>17768</v>
      </c>
      <c r="AE15" s="36">
        <f t="shared" si="16"/>
        <v>12368</v>
      </c>
      <c r="AF15" s="36">
        <f t="shared" si="16"/>
        <v>6968</v>
      </c>
      <c r="AG15" s="36">
        <f t="shared" si="16"/>
        <v>2288</v>
      </c>
      <c r="AH15" s="36">
        <f t="shared" si="16"/>
        <v>30528</v>
      </c>
      <c r="AI15" s="36">
        <f t="shared" si="16"/>
        <v>25848</v>
      </c>
      <c r="AJ15" s="36">
        <f t="shared" si="16"/>
        <v>20088</v>
      </c>
      <c r="AK15" s="36">
        <f t="shared" si="16"/>
        <v>14328</v>
      </c>
      <c r="AL15" s="36">
        <f t="shared" si="16"/>
        <v>-7632</v>
      </c>
      <c r="AM15" s="36">
        <f t="shared" si="16"/>
        <v>-7632</v>
      </c>
      <c r="AN15" s="36">
        <f t="shared" si="16"/>
        <v>-7632</v>
      </c>
      <c r="AO15" s="36">
        <f t="shared" si="16"/>
        <v>-7632</v>
      </c>
      <c r="AP15" s="36">
        <f t="shared" si="16"/>
        <v>-31392</v>
      </c>
      <c r="AQ15" s="36">
        <f t="shared" si="16"/>
        <v>-31392</v>
      </c>
      <c r="AR15" s="36">
        <f t="shared" si="16"/>
        <v>-31392</v>
      </c>
      <c r="AS15" s="36">
        <f t="shared" si="16"/>
        <v>-31392</v>
      </c>
      <c r="AT15" s="36">
        <f t="shared" si="16"/>
        <v>-31392</v>
      </c>
      <c r="AU15" s="36">
        <f t="shared" si="16"/>
        <v>-44712</v>
      </c>
      <c r="AV15" s="36">
        <f t="shared" si="16"/>
        <v>-44712</v>
      </c>
      <c r="AW15" s="36">
        <f t="shared" si="16"/>
        <v>-44712</v>
      </c>
      <c r="AX15" s="37">
        <f t="shared" si="16"/>
        <v>-44712</v>
      </c>
    </row>
  </sheetData>
  <conditionalFormatting sqref="A10:B11 BE10:XFD11 AY12:BD12 C13:AX13">
    <cfRule type="cellIs" dxfId="0" priority="9" operator="lessThan">
      <formula>-66534</formula>
    </cfRule>
  </conditionalFormatting>
  <conditionalFormatting sqref="D15:AX15">
    <cfRule type="cellIs" dxfId="4" priority="6" operator="between">
      <formula>-28000</formula>
      <formula>0</formula>
    </cfRule>
    <cfRule type="cellIs" dxfId="3" priority="7" operator="greaterThan">
      <formula>0</formula>
    </cfRule>
    <cfRule type="cellIs" dxfId="2" priority="8" stopIfTrue="1" operator="between">
      <formula>-28000</formula>
      <formula>-54472</formula>
    </cfRule>
  </conditionalFormatting>
  <conditionalFormatting sqref="AY14:BC14 C15:AX15">
    <cfRule type="cellIs" dxfId="1" priority="5" stopIfTrue="1" operator="lessThan">
      <formula>-54472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99AC-DA2A-D449-99A4-7861C18CE614}">
  <dimension ref="B2:H6"/>
  <sheetViews>
    <sheetView showGridLines="0" tabSelected="1" zoomScale="150" workbookViewId="0">
      <selection activeCell="G16" sqref="G16"/>
    </sheetView>
  </sheetViews>
  <sheetFormatPr baseColWidth="10" defaultColWidth="10.83203125" defaultRowHeight="15" x14ac:dyDescent="0.2"/>
  <cols>
    <col min="1" max="1" width="3.1640625" style="12" customWidth="1"/>
    <col min="2" max="2" width="13.83203125" style="12" customWidth="1"/>
    <col min="3" max="3" width="8.33203125" style="12" customWidth="1"/>
    <col min="4" max="4" width="10.33203125" style="12" customWidth="1"/>
    <col min="5" max="6" width="7.33203125" style="12" customWidth="1"/>
    <col min="7" max="7" width="9.33203125" style="12" customWidth="1"/>
    <col min="8" max="8" width="7.33203125" style="12" customWidth="1"/>
    <col min="9" max="16384" width="10.83203125" style="12"/>
  </cols>
  <sheetData>
    <row r="2" spans="2:8" ht="34" x14ac:dyDescent="0.2">
      <c r="B2" s="13" t="s">
        <v>21</v>
      </c>
      <c r="C2" s="13" t="s">
        <v>33</v>
      </c>
      <c r="D2" s="13" t="s">
        <v>22</v>
      </c>
      <c r="E2" s="13" t="s">
        <v>34</v>
      </c>
      <c r="F2" s="13" t="s">
        <v>35</v>
      </c>
      <c r="G2" s="14" t="s">
        <v>31</v>
      </c>
      <c r="H2" s="13" t="s">
        <v>32</v>
      </c>
    </row>
    <row r="3" spans="2:8" ht="16" x14ac:dyDescent="0.2">
      <c r="B3" s="15" t="s">
        <v>23</v>
      </c>
      <c r="C3" s="15" t="s">
        <v>24</v>
      </c>
      <c r="D3" s="16">
        <v>40257237</v>
      </c>
      <c r="E3" s="51">
        <v>2.71</v>
      </c>
      <c r="F3" s="16">
        <v>0.55000000000000004</v>
      </c>
      <c r="G3" s="17">
        <v>6809</v>
      </c>
      <c r="H3" s="15">
        <v>7831</v>
      </c>
    </row>
    <row r="4" spans="2:8" ht="16" x14ac:dyDescent="0.2">
      <c r="B4" s="15" t="s">
        <v>25</v>
      </c>
      <c r="C4" s="15" t="s">
        <v>26</v>
      </c>
      <c r="D4" s="16">
        <v>40256626</v>
      </c>
      <c r="E4" s="51">
        <v>2.54</v>
      </c>
      <c r="F4" s="16">
        <v>0.5</v>
      </c>
      <c r="G4" s="17">
        <v>8316</v>
      </c>
      <c r="H4" s="15">
        <v>9564</v>
      </c>
    </row>
    <row r="5" spans="2:8" ht="16" x14ac:dyDescent="0.2">
      <c r="B5" s="15" t="s">
        <v>27</v>
      </c>
      <c r="C5" s="15" t="s">
        <v>28</v>
      </c>
      <c r="D5" s="16">
        <v>40229265</v>
      </c>
      <c r="E5" s="51">
        <v>0.89</v>
      </c>
      <c r="F5" s="16">
        <v>8.1000000000000003E-2</v>
      </c>
      <c r="G5" s="17">
        <v>4160</v>
      </c>
      <c r="H5" s="15">
        <v>4784</v>
      </c>
    </row>
    <row r="6" spans="2:8" ht="16" x14ac:dyDescent="0.2">
      <c r="B6" s="15" t="s">
        <v>29</v>
      </c>
      <c r="C6" s="15" t="s">
        <v>28</v>
      </c>
      <c r="D6" s="16">
        <v>40282130</v>
      </c>
      <c r="E6" s="51">
        <v>1.51</v>
      </c>
      <c r="F6" s="16">
        <v>0.16500000000000001</v>
      </c>
      <c r="G6" s="17">
        <v>392</v>
      </c>
      <c r="H6" s="15">
        <v>451</v>
      </c>
    </row>
  </sheetData>
  <printOptions horizontalCentered="1"/>
  <pageMargins left="0" right="0" top="0" bottom="0" header="0.25" footer="0"/>
  <pageSetup paperSize="8" scale="120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e2a836-621a-4ca6-a2b9-60431c182a4e">
      <Terms xmlns="http://schemas.microsoft.com/office/infopath/2007/PartnerControls"/>
    </lcf76f155ced4ddcb4097134ff3c332f>
    <TaxCatchAll xmlns="8f38657d-4099-4cf1-841c-bb3e5792965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A075E490F57149BCEC13E5A97E136B" ma:contentTypeVersion="13" ma:contentTypeDescription="Create a new document." ma:contentTypeScope="" ma:versionID="72d67b011b227e9a7bfbbb63622ba1a9">
  <xsd:schema xmlns:xsd="http://www.w3.org/2001/XMLSchema" xmlns:xs="http://www.w3.org/2001/XMLSchema" xmlns:p="http://schemas.microsoft.com/office/2006/metadata/properties" xmlns:ns2="b7e2a836-621a-4ca6-a2b9-60431c182a4e" xmlns:ns3="8f38657d-4099-4cf1-841c-bb3e57929658" targetNamespace="http://schemas.microsoft.com/office/2006/metadata/properties" ma:root="true" ma:fieldsID="2ac26ce9bec0fa91a9500c53d12b3b2f" ns2:_="" ns3:_="">
    <xsd:import namespace="b7e2a836-621a-4ca6-a2b9-60431c182a4e"/>
    <xsd:import namespace="8f38657d-4099-4cf1-841c-bb3e57929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2a836-621a-4ca6-a2b9-60431c182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94d442-9f44-491a-9ee9-28b53e3a4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8657d-4099-4cf1-841c-bb3e579296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7b135b-f3e7-4cd1-96c3-bd38f59422bf}" ma:internalName="TaxCatchAll" ma:showField="CatchAllData" ma:web="8f38657d-4099-4cf1-841c-bb3e579296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C279F9-9418-4228-8EA5-30FC040680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D42EA4-B881-40A9-9139-13F8D360D733}">
  <ds:schemaRefs>
    <ds:schemaRef ds:uri="b7e2a836-621a-4ca6-a2b9-60431c182a4e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f38657d-4099-4cf1-841c-bb3e57929658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DC91BBE-34CD-4292-8421-C82B01976B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2a836-621a-4ca6-a2b9-60431c182a4e"/>
    <ds:schemaRef ds:uri="8f38657d-4099-4cf1-841c-bb3e57929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 plan 7237</vt:lpstr>
      <vt:lpstr>Product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Business Development</dc:creator>
  <cp:keywords/>
  <dc:description/>
  <cp:lastModifiedBy>Business Development</cp:lastModifiedBy>
  <cp:revision/>
  <dcterms:created xsi:type="dcterms:W3CDTF">2026-02-10T06:21:53Z</dcterms:created>
  <dcterms:modified xsi:type="dcterms:W3CDTF">2026-05-31T16:30:11Z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0x0101002EA075E490F57149BCEC13E5A97E136B</vt:lpwstr>
  </property>
  <property fmtid="{D5CDD505-2E9C-101B-9397-08002B2CF9AE}" pid="3" name="MediaServiceImageTags">
    <vt:lpwstr/>
  </property>
</Properties>
</file>